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19395" windowHeight="7380"/>
  </bookViews>
  <sheets>
    <sheet name="返済" sheetId="3" r:id="rId1"/>
  </sheets>
  <calcPr calcId="145621"/>
</workbook>
</file>

<file path=xl/calcChain.xml><?xml version="1.0" encoding="utf-8"?>
<calcChain xmlns="http://schemas.openxmlformats.org/spreadsheetml/2006/main">
  <c r="F37" i="3" l="1"/>
  <c r="D37" i="3"/>
  <c r="E37" i="3"/>
  <c r="C37" i="3"/>
  <c r="D36" i="3"/>
  <c r="F36" i="3"/>
  <c r="E36" i="3"/>
  <c r="C36" i="3"/>
  <c r="D35" i="3"/>
  <c r="F35" i="3"/>
  <c r="E35" i="3"/>
  <c r="C35" i="3"/>
  <c r="D34" i="3"/>
  <c r="F34" i="3"/>
  <c r="E34" i="3"/>
  <c r="C34" i="3"/>
  <c r="D33" i="3"/>
  <c r="F33" i="3"/>
  <c r="E33" i="3"/>
  <c r="C33" i="3"/>
  <c r="D32" i="3"/>
  <c r="F32" i="3"/>
  <c r="E32" i="3"/>
  <c r="C32" i="3"/>
  <c r="D31" i="3"/>
  <c r="F31" i="3"/>
  <c r="E31" i="3"/>
  <c r="C31" i="3"/>
  <c r="D30" i="3"/>
  <c r="F30" i="3"/>
  <c r="E30" i="3"/>
  <c r="C30" i="3"/>
  <c r="D29" i="3"/>
  <c r="F29" i="3"/>
  <c r="E29" i="3"/>
  <c r="C29" i="3"/>
  <c r="D28" i="3"/>
  <c r="F28" i="3"/>
  <c r="E28" i="3"/>
  <c r="C28" i="3"/>
  <c r="D27" i="3"/>
  <c r="F27" i="3"/>
  <c r="E27" i="3"/>
  <c r="C27" i="3"/>
  <c r="D26" i="3"/>
  <c r="F26" i="3"/>
  <c r="E26" i="3"/>
  <c r="C26" i="3"/>
  <c r="D25" i="3"/>
  <c r="F25" i="3"/>
  <c r="E25" i="3"/>
  <c r="C25" i="3"/>
  <c r="D24" i="3"/>
  <c r="F24" i="3"/>
  <c r="E24" i="3"/>
  <c r="C24" i="3"/>
  <c r="D23" i="3"/>
  <c r="F23" i="3"/>
  <c r="E23" i="3"/>
  <c r="C23" i="3"/>
  <c r="D22" i="3"/>
  <c r="F22" i="3"/>
  <c r="E22" i="3"/>
  <c r="C22" i="3"/>
  <c r="D21" i="3"/>
  <c r="F21" i="3"/>
  <c r="E21" i="3"/>
  <c r="C21" i="3"/>
  <c r="D20" i="3"/>
  <c r="F20" i="3"/>
  <c r="E20" i="3"/>
  <c r="C20" i="3"/>
  <c r="D19" i="3"/>
  <c r="F19" i="3"/>
  <c r="E19" i="3"/>
  <c r="C19" i="3"/>
  <c r="D18" i="3"/>
  <c r="F18" i="3"/>
  <c r="E18" i="3"/>
  <c r="C18" i="3"/>
  <c r="D17" i="3"/>
  <c r="F17" i="3"/>
  <c r="E17" i="3"/>
  <c r="C17" i="3"/>
  <c r="D16" i="3"/>
  <c r="F16" i="3"/>
  <c r="E16" i="3"/>
  <c r="C16" i="3"/>
  <c r="D15" i="3"/>
  <c r="F15" i="3"/>
  <c r="E15" i="3"/>
  <c r="C15" i="3"/>
  <c r="D14" i="3"/>
  <c r="F14" i="3"/>
  <c r="E14" i="3"/>
  <c r="C14" i="3"/>
  <c r="D13" i="3"/>
  <c r="F13" i="3"/>
  <c r="E13" i="3"/>
  <c r="C13" i="3"/>
  <c r="D12" i="3"/>
  <c r="F12" i="3"/>
  <c r="E12" i="3"/>
  <c r="C12" i="3"/>
  <c r="D11" i="3"/>
  <c r="F11" i="3"/>
  <c r="E11" i="3"/>
  <c r="C11" i="3"/>
  <c r="D10" i="3"/>
  <c r="F10" i="3"/>
  <c r="E10" i="3"/>
  <c r="C10" i="3"/>
  <c r="D9" i="3"/>
  <c r="F9" i="3"/>
  <c r="E9" i="3"/>
  <c r="C9" i="3"/>
</calcChain>
</file>

<file path=xl/sharedStrings.xml><?xml version="1.0" encoding="utf-8"?>
<sst xmlns="http://schemas.openxmlformats.org/spreadsheetml/2006/main" count="11" uniqueCount="11">
  <si>
    <t>回</t>
    <rPh sb="0" eb="1">
      <t>カイ</t>
    </rPh>
    <phoneticPr fontId="1"/>
  </si>
  <si>
    <t>残額</t>
    <rPh sb="0" eb="2">
      <t>ザンガク</t>
    </rPh>
    <phoneticPr fontId="1"/>
  </si>
  <si>
    <t>返済元金</t>
    <rPh sb="0" eb="2">
      <t>ヘンサイ</t>
    </rPh>
    <rPh sb="2" eb="4">
      <t>ガンキン</t>
    </rPh>
    <phoneticPr fontId="1"/>
  </si>
  <si>
    <t>返済利息</t>
    <rPh sb="0" eb="2">
      <t>ヘンサイ</t>
    </rPh>
    <rPh sb="2" eb="4">
      <t>リソク</t>
    </rPh>
    <phoneticPr fontId="1"/>
  </si>
  <si>
    <t>返済額</t>
    <rPh sb="0" eb="2">
      <t>ヘンサイ</t>
    </rPh>
    <rPh sb="2" eb="3">
      <t>ガク</t>
    </rPh>
    <phoneticPr fontId="1"/>
  </si>
  <si>
    <t>借入元金</t>
    <rPh sb="0" eb="2">
      <t>カリイレ</t>
    </rPh>
    <rPh sb="2" eb="4">
      <t>ガンキン</t>
    </rPh>
    <phoneticPr fontId="1"/>
  </si>
  <si>
    <t>利息</t>
    <rPh sb="0" eb="2">
      <t>リソク</t>
    </rPh>
    <phoneticPr fontId="1"/>
  </si>
  <si>
    <t>返済回数</t>
    <rPh sb="0" eb="2">
      <t>ヘンサイ</t>
    </rPh>
    <rPh sb="2" eb="4">
      <t>カイスウ</t>
    </rPh>
    <phoneticPr fontId="1"/>
  </si>
  <si>
    <t>実質金利</t>
    <rPh sb="0" eb="2">
      <t>ジッシツ</t>
    </rPh>
    <rPh sb="2" eb="4">
      <t>キンリ</t>
    </rPh>
    <phoneticPr fontId="1"/>
  </si>
  <si>
    <t>返済スケジュール</t>
    <rPh sb="0" eb="2">
      <t>ヘンサイ</t>
    </rPh>
    <phoneticPr fontId="1"/>
  </si>
  <si>
    <t>元金均等</t>
    <rPh sb="0" eb="2">
      <t>ガンキン</t>
    </rPh>
    <rPh sb="2" eb="4">
      <t>キントウ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</si>
</sst>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37"/>
  <sheetViews>
    <sheetView tabSelected="1" workbookViewId="0">
      <selection activeCell="H25" sqref="H25"/>
    </sheetView>
  </sheetViews>
  <sheetFormatPr defaultRowHeight="13.5" x14ac:dyDescent="0.15"/>
  <cols>
    <col min="1" max="1" width="3.875" customWidth="1"/>
    <col min="2" max="2" width="12.25" customWidth="1"/>
    <col min="3" max="4" width="11.125" customWidth="1"/>
    <col min="5" max="5" width="10.125" customWidth="1"/>
    <col min="6" max="6" width="10.75" customWidth="1"/>
  </cols>
  <sheetData>
    <row r="1" spans="2:6" x14ac:dyDescent="0.15">
      <c r="B1" t="s">
        <v>10</v>
      </c>
    </row>
    <row r="2" spans="2:6" x14ac:dyDescent="0.15">
      <c r="B2" t="s">
        <v>5</v>
      </c>
      <c r="C2">
        <v>1200000</v>
      </c>
    </row>
    <row r="3" spans="2:6" x14ac:dyDescent="0.15">
      <c r="B3" t="s">
        <v>6</v>
      </c>
      <c r="C3">
        <v>15</v>
      </c>
    </row>
    <row r="4" spans="2:6" x14ac:dyDescent="0.15">
      <c r="B4" t="s">
        <v>8</v>
      </c>
      <c r="C4">
        <v>1.2499999999999999E-2</v>
      </c>
    </row>
    <row r="5" spans="2:6" x14ac:dyDescent="0.15">
      <c r="B5" t="s">
        <v>7</v>
      </c>
      <c r="C5">
        <v>50000</v>
      </c>
    </row>
    <row r="7" spans="2:6" x14ac:dyDescent="0.15">
      <c r="B7" t="s">
        <v>9</v>
      </c>
    </row>
    <row r="8" spans="2:6" x14ac:dyDescent="0.15">
      <c r="B8" t="s">
        <v>0</v>
      </c>
      <c r="C8" t="s">
        <v>1</v>
      </c>
      <c r="D8" t="s">
        <v>2</v>
      </c>
      <c r="E8" t="s">
        <v>3</v>
      </c>
      <c r="F8" t="s">
        <v>4</v>
      </c>
    </row>
    <row r="9" spans="2:6" x14ac:dyDescent="0.15">
      <c r="B9">
        <v>1</v>
      </c>
      <c r="C9">
        <f xml:space="preserve"> $C$2</f>
        <v>1200000</v>
      </c>
      <c r="D9">
        <f t="shared" ref="D9:D36" si="0" xml:space="preserve"> F9-E9</f>
        <v>-35000</v>
      </c>
      <c r="E9">
        <f t="shared" ref="E9:E37" si="1" xml:space="preserve"> -ROUND( C9 * $C$4, 0)</f>
        <v>-15000</v>
      </c>
      <c r="F9">
        <f t="shared" ref="F9:F36" si="2" xml:space="preserve"> -$C$5</f>
        <v>-50000</v>
      </c>
    </row>
    <row r="10" spans="2:6" x14ac:dyDescent="0.15">
      <c r="B10">
        <v>2</v>
      </c>
      <c r="C10">
        <f t="shared" ref="C10:C37" si="3" xml:space="preserve"> C9 + D9</f>
        <v>1165000</v>
      </c>
      <c r="D10">
        <f t="shared" si="0"/>
        <v>-35437</v>
      </c>
      <c r="E10">
        <f t="shared" si="1"/>
        <v>-14563</v>
      </c>
      <c r="F10">
        <f t="shared" si="2"/>
        <v>-50000</v>
      </c>
    </row>
    <row r="11" spans="2:6" x14ac:dyDescent="0.15">
      <c r="B11">
        <v>3</v>
      </c>
      <c r="C11">
        <f t="shared" si="3"/>
        <v>1129563</v>
      </c>
      <c r="D11">
        <f t="shared" si="0"/>
        <v>-35880</v>
      </c>
      <c r="E11">
        <f t="shared" si="1"/>
        <v>-14120</v>
      </c>
      <c r="F11">
        <f t="shared" si="2"/>
        <v>-50000</v>
      </c>
    </row>
    <row r="12" spans="2:6" x14ac:dyDescent="0.15">
      <c r="B12">
        <v>4</v>
      </c>
      <c r="C12">
        <f t="shared" si="3"/>
        <v>1093683</v>
      </c>
      <c r="D12">
        <f t="shared" si="0"/>
        <v>-36329</v>
      </c>
      <c r="E12">
        <f t="shared" si="1"/>
        <v>-13671</v>
      </c>
      <c r="F12">
        <f t="shared" si="2"/>
        <v>-50000</v>
      </c>
    </row>
    <row r="13" spans="2:6" x14ac:dyDescent="0.15">
      <c r="B13">
        <v>5</v>
      </c>
      <c r="C13">
        <f t="shared" si="3"/>
        <v>1057354</v>
      </c>
      <c r="D13">
        <f t="shared" si="0"/>
        <v>-36783</v>
      </c>
      <c r="E13">
        <f t="shared" si="1"/>
        <v>-13217</v>
      </c>
      <c r="F13">
        <f t="shared" si="2"/>
        <v>-50000</v>
      </c>
    </row>
    <row r="14" spans="2:6" x14ac:dyDescent="0.15">
      <c r="B14">
        <v>6</v>
      </c>
      <c r="C14">
        <f t="shared" si="3"/>
        <v>1020571</v>
      </c>
      <c r="D14">
        <f t="shared" si="0"/>
        <v>-37243</v>
      </c>
      <c r="E14">
        <f t="shared" si="1"/>
        <v>-12757</v>
      </c>
      <c r="F14">
        <f t="shared" si="2"/>
        <v>-50000</v>
      </c>
    </row>
    <row r="15" spans="2:6" x14ac:dyDescent="0.15">
      <c r="B15">
        <v>7</v>
      </c>
      <c r="C15">
        <f t="shared" si="3"/>
        <v>983328</v>
      </c>
      <c r="D15">
        <f t="shared" si="0"/>
        <v>-37708</v>
      </c>
      <c r="E15">
        <f t="shared" si="1"/>
        <v>-12292</v>
      </c>
      <c r="F15">
        <f t="shared" si="2"/>
        <v>-50000</v>
      </c>
    </row>
    <row r="16" spans="2:6" x14ac:dyDescent="0.15">
      <c r="B16">
        <v>8</v>
      </c>
      <c r="C16">
        <f t="shared" si="3"/>
        <v>945620</v>
      </c>
      <c r="D16">
        <f t="shared" si="0"/>
        <v>-38180</v>
      </c>
      <c r="E16">
        <f t="shared" si="1"/>
        <v>-11820</v>
      </c>
      <c r="F16">
        <f t="shared" si="2"/>
        <v>-50000</v>
      </c>
    </row>
    <row r="17" spans="2:6" x14ac:dyDescent="0.15">
      <c r="B17">
        <v>9</v>
      </c>
      <c r="C17">
        <f t="shared" si="3"/>
        <v>907440</v>
      </c>
      <c r="D17">
        <f t="shared" si="0"/>
        <v>-38657</v>
      </c>
      <c r="E17">
        <f t="shared" si="1"/>
        <v>-11343</v>
      </c>
      <c r="F17">
        <f t="shared" si="2"/>
        <v>-50000</v>
      </c>
    </row>
    <row r="18" spans="2:6" x14ac:dyDescent="0.15">
      <c r="B18">
        <v>10</v>
      </c>
      <c r="C18">
        <f t="shared" si="3"/>
        <v>868783</v>
      </c>
      <c r="D18">
        <f t="shared" si="0"/>
        <v>-39140</v>
      </c>
      <c r="E18">
        <f t="shared" si="1"/>
        <v>-10860</v>
      </c>
      <c r="F18">
        <f t="shared" si="2"/>
        <v>-50000</v>
      </c>
    </row>
    <row r="19" spans="2:6" x14ac:dyDescent="0.15">
      <c r="B19">
        <v>11</v>
      </c>
      <c r="C19">
        <f t="shared" si="3"/>
        <v>829643</v>
      </c>
      <c r="D19">
        <f t="shared" si="0"/>
        <v>-39629</v>
      </c>
      <c r="E19">
        <f t="shared" si="1"/>
        <v>-10371</v>
      </c>
      <c r="F19">
        <f t="shared" si="2"/>
        <v>-50000</v>
      </c>
    </row>
    <row r="20" spans="2:6" x14ac:dyDescent="0.15">
      <c r="B20">
        <v>12</v>
      </c>
      <c r="C20">
        <f t="shared" si="3"/>
        <v>790014</v>
      </c>
      <c r="D20">
        <f t="shared" si="0"/>
        <v>-40125</v>
      </c>
      <c r="E20">
        <f t="shared" si="1"/>
        <v>-9875</v>
      </c>
      <c r="F20">
        <f t="shared" si="2"/>
        <v>-50000</v>
      </c>
    </row>
    <row r="21" spans="2:6" x14ac:dyDescent="0.15">
      <c r="B21">
        <v>13</v>
      </c>
      <c r="C21">
        <f t="shared" si="3"/>
        <v>749889</v>
      </c>
      <c r="D21">
        <f t="shared" si="0"/>
        <v>-40626</v>
      </c>
      <c r="E21">
        <f t="shared" si="1"/>
        <v>-9374</v>
      </c>
      <c r="F21">
        <f t="shared" si="2"/>
        <v>-50000</v>
      </c>
    </row>
    <row r="22" spans="2:6" x14ac:dyDescent="0.15">
      <c r="B22">
        <v>14</v>
      </c>
      <c r="C22">
        <f t="shared" si="3"/>
        <v>709263</v>
      </c>
      <c r="D22">
        <f t="shared" si="0"/>
        <v>-41134</v>
      </c>
      <c r="E22">
        <f t="shared" si="1"/>
        <v>-8866</v>
      </c>
      <c r="F22">
        <f t="shared" si="2"/>
        <v>-50000</v>
      </c>
    </row>
    <row r="23" spans="2:6" x14ac:dyDescent="0.15">
      <c r="B23">
        <v>15</v>
      </c>
      <c r="C23">
        <f t="shared" si="3"/>
        <v>668129</v>
      </c>
      <c r="D23">
        <f t="shared" si="0"/>
        <v>-41648</v>
      </c>
      <c r="E23">
        <f t="shared" si="1"/>
        <v>-8352</v>
      </c>
      <c r="F23">
        <f t="shared" si="2"/>
        <v>-50000</v>
      </c>
    </row>
    <row r="24" spans="2:6" x14ac:dyDescent="0.15">
      <c r="B24">
        <v>16</v>
      </c>
      <c r="C24">
        <f t="shared" si="3"/>
        <v>626481</v>
      </c>
      <c r="D24">
        <f t="shared" si="0"/>
        <v>-42169</v>
      </c>
      <c r="E24">
        <f t="shared" si="1"/>
        <v>-7831</v>
      </c>
      <c r="F24">
        <f t="shared" si="2"/>
        <v>-50000</v>
      </c>
    </row>
    <row r="25" spans="2:6" x14ac:dyDescent="0.15">
      <c r="B25">
        <v>17</v>
      </c>
      <c r="C25">
        <f t="shared" si="3"/>
        <v>584312</v>
      </c>
      <c r="D25">
        <f t="shared" si="0"/>
        <v>-42696</v>
      </c>
      <c r="E25">
        <f t="shared" si="1"/>
        <v>-7304</v>
      </c>
      <c r="F25">
        <f t="shared" si="2"/>
        <v>-50000</v>
      </c>
    </row>
    <row r="26" spans="2:6" x14ac:dyDescent="0.15">
      <c r="B26">
        <v>18</v>
      </c>
      <c r="C26">
        <f t="shared" si="3"/>
        <v>541616</v>
      </c>
      <c r="D26">
        <f t="shared" si="0"/>
        <v>-43230</v>
      </c>
      <c r="E26">
        <f t="shared" si="1"/>
        <v>-6770</v>
      </c>
      <c r="F26">
        <f t="shared" si="2"/>
        <v>-50000</v>
      </c>
    </row>
    <row r="27" spans="2:6" x14ac:dyDescent="0.15">
      <c r="B27">
        <v>19</v>
      </c>
      <c r="C27">
        <f t="shared" si="3"/>
        <v>498386</v>
      </c>
      <c r="D27">
        <f t="shared" si="0"/>
        <v>-43770</v>
      </c>
      <c r="E27">
        <f t="shared" si="1"/>
        <v>-6230</v>
      </c>
      <c r="F27">
        <f t="shared" si="2"/>
        <v>-50000</v>
      </c>
    </row>
    <row r="28" spans="2:6" x14ac:dyDescent="0.15">
      <c r="B28">
        <v>20</v>
      </c>
      <c r="C28">
        <f t="shared" si="3"/>
        <v>454616</v>
      </c>
      <c r="D28">
        <f t="shared" si="0"/>
        <v>-44317</v>
      </c>
      <c r="E28">
        <f t="shared" si="1"/>
        <v>-5683</v>
      </c>
      <c r="F28">
        <f t="shared" si="2"/>
        <v>-50000</v>
      </c>
    </row>
    <row r="29" spans="2:6" x14ac:dyDescent="0.15">
      <c r="B29">
        <v>21</v>
      </c>
      <c r="C29">
        <f t="shared" si="3"/>
        <v>410299</v>
      </c>
      <c r="D29">
        <f t="shared" si="0"/>
        <v>-44871</v>
      </c>
      <c r="E29">
        <f t="shared" si="1"/>
        <v>-5129</v>
      </c>
      <c r="F29">
        <f t="shared" si="2"/>
        <v>-50000</v>
      </c>
    </row>
    <row r="30" spans="2:6" x14ac:dyDescent="0.15">
      <c r="B30">
        <v>22</v>
      </c>
      <c r="C30">
        <f t="shared" si="3"/>
        <v>365428</v>
      </c>
      <c r="D30">
        <f t="shared" si="0"/>
        <v>-45432</v>
      </c>
      <c r="E30">
        <f t="shared" si="1"/>
        <v>-4568</v>
      </c>
      <c r="F30">
        <f t="shared" si="2"/>
        <v>-50000</v>
      </c>
    </row>
    <row r="31" spans="2:6" x14ac:dyDescent="0.15">
      <c r="B31">
        <v>23</v>
      </c>
      <c r="C31">
        <f t="shared" si="3"/>
        <v>319996</v>
      </c>
      <c r="D31">
        <f t="shared" si="0"/>
        <v>-46000</v>
      </c>
      <c r="E31">
        <f t="shared" si="1"/>
        <v>-4000</v>
      </c>
      <c r="F31">
        <f t="shared" si="2"/>
        <v>-50000</v>
      </c>
    </row>
    <row r="32" spans="2:6" x14ac:dyDescent="0.15">
      <c r="B32">
        <v>24</v>
      </c>
      <c r="C32">
        <f t="shared" si="3"/>
        <v>273996</v>
      </c>
      <c r="D32">
        <f t="shared" si="0"/>
        <v>-46575</v>
      </c>
      <c r="E32">
        <f t="shared" si="1"/>
        <v>-3425</v>
      </c>
      <c r="F32">
        <f t="shared" si="2"/>
        <v>-50000</v>
      </c>
    </row>
    <row r="33" spans="2:6" x14ac:dyDescent="0.15">
      <c r="B33">
        <v>25</v>
      </c>
      <c r="C33">
        <f t="shared" si="3"/>
        <v>227421</v>
      </c>
      <c r="D33">
        <f t="shared" si="0"/>
        <v>-47157</v>
      </c>
      <c r="E33">
        <f t="shared" si="1"/>
        <v>-2843</v>
      </c>
      <c r="F33">
        <f t="shared" si="2"/>
        <v>-50000</v>
      </c>
    </row>
    <row r="34" spans="2:6" x14ac:dyDescent="0.15">
      <c r="B34">
        <v>26</v>
      </c>
      <c r="C34">
        <f t="shared" si="3"/>
        <v>180264</v>
      </c>
      <c r="D34">
        <f t="shared" si="0"/>
        <v>-47747</v>
      </c>
      <c r="E34">
        <f t="shared" si="1"/>
        <v>-2253</v>
      </c>
      <c r="F34">
        <f t="shared" si="2"/>
        <v>-50000</v>
      </c>
    </row>
    <row r="35" spans="2:6" x14ac:dyDescent="0.15">
      <c r="B35">
        <v>27</v>
      </c>
      <c r="C35">
        <f t="shared" si="3"/>
        <v>132517</v>
      </c>
      <c r="D35">
        <f t="shared" si="0"/>
        <v>-48344</v>
      </c>
      <c r="E35">
        <f t="shared" si="1"/>
        <v>-1656</v>
      </c>
      <c r="F35">
        <f t="shared" si="2"/>
        <v>-50000</v>
      </c>
    </row>
    <row r="36" spans="2:6" x14ac:dyDescent="0.15">
      <c r="B36">
        <v>28</v>
      </c>
      <c r="C36">
        <f t="shared" si="3"/>
        <v>84173</v>
      </c>
      <c r="D36">
        <f t="shared" si="0"/>
        <v>-48948</v>
      </c>
      <c r="E36">
        <f t="shared" si="1"/>
        <v>-1052</v>
      </c>
      <c r="F36">
        <f t="shared" si="2"/>
        <v>-50000</v>
      </c>
    </row>
    <row r="37" spans="2:6" x14ac:dyDescent="0.15">
      <c r="B37">
        <v>29</v>
      </c>
      <c r="C37">
        <f t="shared" si="3"/>
        <v>35225</v>
      </c>
      <c r="D37">
        <f xml:space="preserve"> -C37</f>
        <v>-35225</v>
      </c>
      <c r="E37">
        <f t="shared" si="1"/>
        <v>-440</v>
      </c>
      <c r="F37">
        <f xml:space="preserve"> D37+E37</f>
        <v>-35665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返済</vt:lpstr>
    </vt:vector>
  </TitlesOfParts>
  <Company>産業能率大学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情報サービスセンター</dc:creator>
  <cp:lastModifiedBy>情報サービスセンター</cp:lastModifiedBy>
  <dcterms:created xsi:type="dcterms:W3CDTF">2016-10-09T04:11:30Z</dcterms:created>
  <dcterms:modified xsi:type="dcterms:W3CDTF">2016-11-22T04:43:16Z</dcterms:modified>
</cp:coreProperties>
</file>