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9395" windowHeight="7830"/>
  </bookViews>
  <sheets>
    <sheet name="現金" sheetId="1" r:id="rId1"/>
    <sheet name="収支" sheetId="2" r:id="rId2"/>
    <sheet name="勘定科目" sheetId="3" r:id="rId3"/>
    <sheet name="集計" sheetId="4" r:id="rId4"/>
  </sheets>
  <calcPr calcId="145621"/>
</workbook>
</file>

<file path=xl/calcChain.xml><?xml version="1.0" encoding="utf-8"?>
<calcChain xmlns="http://schemas.openxmlformats.org/spreadsheetml/2006/main">
  <c r="F6" i="1" l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4" i="1" l="1"/>
  <c r="F5" i="1"/>
</calcChain>
</file>

<file path=xl/sharedStrings.xml><?xml version="1.0" encoding="utf-8"?>
<sst xmlns="http://schemas.openxmlformats.org/spreadsheetml/2006/main" count="197" uniqueCount="87">
  <si>
    <t>小遣い帳</t>
    <rPh sb="0" eb="2">
      <t>コヅカ</t>
    </rPh>
    <rPh sb="3" eb="4">
      <t>チョウ</t>
    </rPh>
    <phoneticPr fontId="3"/>
  </si>
  <si>
    <t>日付</t>
  </si>
  <si>
    <t>摘要</t>
  </si>
  <si>
    <t>勘定科目</t>
    <rPh sb="0" eb="2">
      <t>カンジョウ</t>
    </rPh>
    <rPh sb="2" eb="4">
      <t>カモク</t>
    </rPh>
    <phoneticPr fontId="3"/>
  </si>
  <si>
    <t>金額</t>
    <rPh sb="0" eb="2">
      <t>キンガク</t>
    </rPh>
    <phoneticPr fontId="3"/>
  </si>
  <si>
    <t>残高</t>
  </si>
  <si>
    <t>繰越金</t>
    <rPh sb="0" eb="2">
      <t>クリコシ</t>
    </rPh>
    <rPh sb="2" eb="3">
      <t>キン</t>
    </rPh>
    <phoneticPr fontId="3"/>
  </si>
  <si>
    <t>収入</t>
    <rPh sb="0" eb="2">
      <t>シュウニュウ</t>
    </rPh>
    <phoneticPr fontId="3"/>
  </si>
  <si>
    <t>小遣い</t>
    <rPh sb="0" eb="2">
      <t>コヅカ</t>
    </rPh>
    <phoneticPr fontId="3"/>
  </si>
  <si>
    <t>アルバイト</t>
    <phoneticPr fontId="3"/>
  </si>
  <si>
    <t>その他臨時収入</t>
    <rPh sb="2" eb="3">
      <t>タ</t>
    </rPh>
    <phoneticPr fontId="3"/>
  </si>
  <si>
    <t>教養費</t>
    <rPh sb="0" eb="2">
      <t>キョウヨウ</t>
    </rPh>
    <rPh sb="2" eb="3">
      <t>ヒ</t>
    </rPh>
    <phoneticPr fontId="3"/>
  </si>
  <si>
    <t>習い事やその教材</t>
    <rPh sb="0" eb="1">
      <t>ナラ</t>
    </rPh>
    <rPh sb="2" eb="3">
      <t>ゴト</t>
    </rPh>
    <rPh sb="6" eb="8">
      <t>キョウザイ</t>
    </rPh>
    <phoneticPr fontId="3"/>
  </si>
  <si>
    <t>図書、購読費</t>
    <rPh sb="0" eb="2">
      <t>トショ</t>
    </rPh>
    <rPh sb="3" eb="5">
      <t>コウドク</t>
    </rPh>
    <rPh sb="5" eb="6">
      <t>ヒ</t>
    </rPh>
    <phoneticPr fontId="3"/>
  </si>
  <si>
    <t>文具</t>
    <rPh sb="0" eb="2">
      <t>ブング</t>
    </rPh>
    <phoneticPr fontId="3"/>
  </si>
  <si>
    <t>飲食費</t>
    <rPh sb="0" eb="2">
      <t>インショク</t>
    </rPh>
    <rPh sb="2" eb="3">
      <t>ヒ</t>
    </rPh>
    <phoneticPr fontId="3"/>
  </si>
  <si>
    <t>食事代</t>
    <rPh sb="0" eb="2">
      <t>ショクジ</t>
    </rPh>
    <rPh sb="2" eb="3">
      <t>ダイ</t>
    </rPh>
    <phoneticPr fontId="3"/>
  </si>
  <si>
    <t>菓子代</t>
    <rPh sb="0" eb="2">
      <t>カシ</t>
    </rPh>
    <rPh sb="2" eb="3">
      <t>ダイ</t>
    </rPh>
    <phoneticPr fontId="3"/>
  </si>
  <si>
    <t>飲み物代</t>
    <rPh sb="0" eb="1">
      <t>ノ</t>
    </rPh>
    <rPh sb="2" eb="3">
      <t>モノ</t>
    </rPh>
    <rPh sb="3" eb="4">
      <t>ダイ</t>
    </rPh>
    <phoneticPr fontId="3"/>
  </si>
  <si>
    <t>服飾費</t>
    <rPh sb="0" eb="3">
      <t>フクショクヒ</t>
    </rPh>
    <phoneticPr fontId="3"/>
  </si>
  <si>
    <t>洋服代</t>
    <rPh sb="0" eb="2">
      <t>ヨウフク</t>
    </rPh>
    <rPh sb="2" eb="3">
      <t>ダイ</t>
    </rPh>
    <phoneticPr fontId="3"/>
  </si>
  <si>
    <t>服飾小物代</t>
    <rPh sb="0" eb="2">
      <t>フクショク</t>
    </rPh>
    <rPh sb="2" eb="4">
      <t>コモノ</t>
    </rPh>
    <rPh sb="4" eb="5">
      <t>ダイ</t>
    </rPh>
    <phoneticPr fontId="3"/>
  </si>
  <si>
    <t>美容理容代</t>
    <rPh sb="0" eb="2">
      <t>ビヨウ</t>
    </rPh>
    <rPh sb="2" eb="4">
      <t>リヨウ</t>
    </rPh>
    <rPh sb="4" eb="5">
      <t>ダイ</t>
    </rPh>
    <phoneticPr fontId="3"/>
  </si>
  <si>
    <t>化粧品代</t>
    <rPh sb="0" eb="3">
      <t>ケショウヒン</t>
    </rPh>
    <rPh sb="3" eb="4">
      <t>ダイ</t>
    </rPh>
    <phoneticPr fontId="3"/>
  </si>
  <si>
    <t>娯楽費</t>
    <rPh sb="0" eb="3">
      <t>ゴラクヒ</t>
    </rPh>
    <phoneticPr fontId="3"/>
  </si>
  <si>
    <t>ゲーム代</t>
    <rPh sb="3" eb="4">
      <t>ダイ</t>
    </rPh>
    <phoneticPr fontId="3"/>
  </si>
  <si>
    <t>漫画代</t>
    <rPh sb="0" eb="2">
      <t>マンガ</t>
    </rPh>
    <rPh sb="2" eb="3">
      <t>ダイ</t>
    </rPh>
    <phoneticPr fontId="3"/>
  </si>
  <si>
    <t>音楽、コンサート代</t>
    <rPh sb="0" eb="2">
      <t>オンガク</t>
    </rPh>
    <rPh sb="8" eb="9">
      <t>ダイ</t>
    </rPh>
    <phoneticPr fontId="3"/>
  </si>
  <si>
    <t>交通通信費</t>
    <rPh sb="0" eb="2">
      <t>コウツウ</t>
    </rPh>
    <rPh sb="2" eb="4">
      <t>ツウシン</t>
    </rPh>
    <rPh sb="4" eb="5">
      <t>ヒ</t>
    </rPh>
    <phoneticPr fontId="3"/>
  </si>
  <si>
    <t>交通費</t>
    <rPh sb="0" eb="3">
      <t>コウツウヒ</t>
    </rPh>
    <phoneticPr fontId="3"/>
  </si>
  <si>
    <t>通信費</t>
    <rPh sb="0" eb="3">
      <t>ツウシンヒ</t>
    </rPh>
    <phoneticPr fontId="3"/>
  </si>
  <si>
    <t>次期繰越残</t>
    <rPh sb="0" eb="2">
      <t>ジキ</t>
    </rPh>
    <rPh sb="2" eb="4">
      <t>クリコシ</t>
    </rPh>
    <rPh sb="4" eb="5">
      <t>ザン</t>
    </rPh>
    <phoneticPr fontId="3"/>
  </si>
  <si>
    <t>分類</t>
    <rPh sb="0" eb="2">
      <t>ブンルイ</t>
    </rPh>
    <phoneticPr fontId="3"/>
  </si>
  <si>
    <t>区分</t>
    <rPh sb="0" eb="2">
      <t>クブン</t>
    </rPh>
    <phoneticPr fontId="3"/>
  </si>
  <si>
    <t>アルバイト</t>
    <phoneticPr fontId="3"/>
  </si>
  <si>
    <t>支出</t>
    <rPh sb="0" eb="2">
      <t>シシュツ</t>
    </rPh>
    <phoneticPr fontId="3"/>
  </si>
  <si>
    <t>収入</t>
    <phoneticPr fontId="2"/>
  </si>
  <si>
    <t>収入</t>
  </si>
  <si>
    <t>繰越金</t>
  </si>
  <si>
    <t>先月より</t>
  </si>
  <si>
    <t>文具</t>
  </si>
  <si>
    <t>ボールペン</t>
  </si>
  <si>
    <t>娯楽費</t>
  </si>
  <si>
    <t>ゲーム代</t>
  </si>
  <si>
    <t>ドラゴンボール</t>
  </si>
  <si>
    <t>教養費</t>
  </si>
  <si>
    <t>飲食費</t>
  </si>
  <si>
    <t>飲み物代</t>
  </si>
  <si>
    <t>コーヒー</t>
  </si>
  <si>
    <t>図書、購読費</t>
  </si>
  <si>
    <t>ワークブック</t>
  </si>
  <si>
    <t>音楽、コンサート代</t>
  </si>
  <si>
    <t>ライブ</t>
  </si>
  <si>
    <t>交通通信費</t>
  </si>
  <si>
    <t>通信費</t>
  </si>
  <si>
    <t>携帯電話</t>
  </si>
  <si>
    <t>菓子代</t>
  </si>
  <si>
    <t>スナック</t>
  </si>
  <si>
    <t>アルバイト</t>
  </si>
  <si>
    <t>本屋</t>
  </si>
  <si>
    <t>服飾費</t>
  </si>
  <si>
    <t>美容理容代</t>
  </si>
  <si>
    <t>ヘアーカット</t>
  </si>
  <si>
    <t>服飾小物代</t>
  </si>
  <si>
    <t>ショルダーバック</t>
  </si>
  <si>
    <t>小遣い</t>
  </si>
  <si>
    <t>祖父</t>
  </si>
  <si>
    <t>ジュース</t>
  </si>
  <si>
    <t>1月</t>
    <rPh sb="1" eb="2">
      <t>ガツ</t>
    </rPh>
    <phoneticPr fontId="3"/>
  </si>
  <si>
    <t>2月</t>
    <rPh sb="1" eb="2">
      <t>ガツ</t>
    </rPh>
    <phoneticPr fontId="2"/>
  </si>
  <si>
    <t>3月</t>
    <rPh sb="1" eb="2">
      <t>ガツ</t>
    </rPh>
    <phoneticPr fontId="2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</si>
  <si>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</si>
  <si>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</si>
  <si>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</si>
  <si>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</si>
  <si>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</si>
  <si>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</si>
  <si>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</si>
  <si>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</si>
  <si>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</si>
  <si>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習い事やその教材</t>
  </si>
  <si>
    <t>楽器使用料</t>
  </si>
  <si>
    <t>洋服代</t>
  </si>
  <si>
    <t>ジーンズ</t>
  </si>
  <si>
    <t>漫画代</t>
  </si>
  <si>
    <t>紅の豚</t>
  </si>
  <si>
    <t>親の仕送り</t>
    <rPh sb="0" eb="1">
      <t>オヤ</t>
    </rPh>
    <rPh sb="2" eb="4">
      <t>シオク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</si>
</sst>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14" fontId="0" fillId="0" borderId="0" xfId="0" applyNumberFormat="1" applyAlignment="1"/>
    <xf numFmtId="38" fontId="0" fillId="0" borderId="0" xfId="1" applyFont="1" applyAlignment="1"/>
    <xf numFmtId="0" fontId="0" fillId="0" borderId="1" xfId="0" applyBorder="1" applyAlignment="1"/>
    <xf numFmtId="14" fontId="0" fillId="0" borderId="0" xfId="0" applyNumberFormat="1">
      <alignment vertical="center"/>
    </xf>
    <xf numFmtId="38" fontId="0" fillId="0" borderId="0" xfId="1" applyFont="1">
      <alignment vertic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0" fillId="0" borderId="1" xfId="0" applyBorder="1">
      <alignment vertic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1" xfId="0" applyBorder="1" applyAlignment="1">
      <alignment horizontal="center"/>
    </xf>
    <xf numFmtId="0" fontId="4" fillId="0" borderId="1" xfId="0" applyFont="1" applyBorder="1" applyAlignment="1"/>
    <xf numFmtId="0" fontId="4" fillId="0" borderId="0" xfId="0" applyFont="1">
      <alignment vertical="center"/>
    </xf>
    <xf numFmtId="0" fontId="4" fillId="0" borderId="1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3"/>
  <sheetViews>
    <sheetView tabSelected="1" workbookViewId="0">
      <selection activeCell="K11" sqref="K11"/>
    </sheetView>
  </sheetViews>
  <sheetFormatPr defaultRowHeight="13.5" x14ac:dyDescent="0.15"/>
  <cols>
    <col min="1" max="1" width="14.5" customWidth="1"/>
    <col min="2" max="2" width="13.25" customWidth="1"/>
    <col min="3" max="3" width="13.75" customWidth="1"/>
    <col min="4" max="4" width="21.375" customWidth="1"/>
    <col min="5" max="5" width="11.375" customWidth="1"/>
    <col min="6" max="6" width="10.75" customWidth="1"/>
  </cols>
  <sheetData>
    <row r="1" spans="1:10" x14ac:dyDescent="0.15">
      <c r="A1" s="1" t="s">
        <v>0</v>
      </c>
      <c r="B1" s="1"/>
      <c r="C1" s="2"/>
      <c r="D1" s="1"/>
      <c r="E1" s="1"/>
      <c r="F1" s="1"/>
      <c r="G1" s="1"/>
      <c r="H1" s="1"/>
      <c r="J1" t="s">
        <v>36</v>
      </c>
    </row>
    <row r="2" spans="1:10" x14ac:dyDescent="0.15">
      <c r="A2" s="1"/>
      <c r="B2" s="1"/>
      <c r="C2" s="2"/>
      <c r="D2" s="1"/>
      <c r="E2" s="1"/>
      <c r="F2" s="1"/>
      <c r="G2" s="1"/>
      <c r="H2" s="1"/>
    </row>
    <row r="3" spans="1:10" x14ac:dyDescent="0.15">
      <c r="A3" s="1" t="s">
        <v>1</v>
      </c>
      <c r="B3" s="1" t="s">
        <v>32</v>
      </c>
      <c r="C3" s="1" t="s">
        <v>3</v>
      </c>
      <c r="D3" s="2" t="s">
        <v>2</v>
      </c>
      <c r="E3" s="1" t="s">
        <v>4</v>
      </c>
      <c r="F3" s="1" t="s">
        <v>5</v>
      </c>
      <c r="H3" s="1"/>
    </row>
    <row r="4" spans="1:10" x14ac:dyDescent="0.15">
      <c r="A4" s="3">
        <v>42371</v>
      </c>
      <c r="B4" s="1" t="s">
        <v>37</v>
      </c>
      <c r="C4" s="1" t="s">
        <v>38</v>
      </c>
      <c r="D4" s="2" t="s">
        <v>39</v>
      </c>
      <c r="E4" s="4">
        <v>12500</v>
      </c>
      <c r="F4" s="4">
        <f>E4</f>
        <v>12500</v>
      </c>
    </row>
    <row r="5" spans="1:10" x14ac:dyDescent="0.15">
      <c r="A5" s="3">
        <v>42381</v>
      </c>
      <c r="B5" s="1" t="s">
        <v>45</v>
      </c>
      <c r="C5" s="1" t="s">
        <v>40</v>
      </c>
      <c r="D5" s="2" t="s">
        <v>41</v>
      </c>
      <c r="E5" s="4">
        <v>-150</v>
      </c>
      <c r="F5" s="4">
        <f t="shared" ref="F5:F23" si="0">F4+E5</f>
        <v>12350</v>
      </c>
    </row>
    <row r="6" spans="1:10" x14ac:dyDescent="0.15">
      <c r="A6" s="3">
        <v>42412</v>
      </c>
      <c r="B6" s="1" t="s">
        <v>42</v>
      </c>
      <c r="C6" s="1" t="s">
        <v>43</v>
      </c>
      <c r="D6" s="2" t="s">
        <v>44</v>
      </c>
      <c r="E6" s="4">
        <v>-1260</v>
      </c>
      <c r="F6" s="4">
        <f t="shared" si="0"/>
        <v>11090</v>
      </c>
    </row>
    <row r="7" spans="1:10" x14ac:dyDescent="0.15">
      <c r="A7" s="3">
        <v>42412</v>
      </c>
      <c r="B7" s="1" t="s">
        <v>46</v>
      </c>
      <c r="C7" s="1" t="s">
        <v>47</v>
      </c>
      <c r="D7" s="2" t="s">
        <v>48</v>
      </c>
      <c r="E7" s="4">
        <v>-150</v>
      </c>
      <c r="F7" s="4">
        <f t="shared" si="0"/>
        <v>10940</v>
      </c>
    </row>
    <row r="8" spans="1:10" x14ac:dyDescent="0.15">
      <c r="A8" s="3">
        <v>42443</v>
      </c>
      <c r="B8" s="3" t="s">
        <v>45</v>
      </c>
      <c r="C8" s="2" t="s">
        <v>49</v>
      </c>
      <c r="D8" s="1" t="s">
        <v>50</v>
      </c>
      <c r="E8" s="4">
        <v>-800</v>
      </c>
      <c r="F8" s="4">
        <f t="shared" si="0"/>
        <v>10140</v>
      </c>
    </row>
    <row r="9" spans="1:10" x14ac:dyDescent="0.15">
      <c r="A9" s="6">
        <v>42474</v>
      </c>
      <c r="B9" t="s">
        <v>42</v>
      </c>
      <c r="C9" t="s">
        <v>51</v>
      </c>
      <c r="D9" t="s">
        <v>52</v>
      </c>
      <c r="E9" s="7">
        <v>-1000</v>
      </c>
      <c r="F9" s="4">
        <f t="shared" si="0"/>
        <v>9140</v>
      </c>
    </row>
    <row r="10" spans="1:10" x14ac:dyDescent="0.15">
      <c r="A10" s="6">
        <v>42504</v>
      </c>
      <c r="B10" t="s">
        <v>53</v>
      </c>
      <c r="C10" t="s">
        <v>54</v>
      </c>
      <c r="D10" t="s">
        <v>55</v>
      </c>
      <c r="E10" s="7">
        <v>-2500</v>
      </c>
      <c r="F10" s="4">
        <f t="shared" si="0"/>
        <v>6640</v>
      </c>
    </row>
    <row r="11" spans="1:10" x14ac:dyDescent="0.15">
      <c r="A11" s="6">
        <v>42514</v>
      </c>
      <c r="B11" t="s">
        <v>46</v>
      </c>
      <c r="C11" t="s">
        <v>56</v>
      </c>
      <c r="D11" t="s">
        <v>57</v>
      </c>
      <c r="E11" s="7">
        <v>-200</v>
      </c>
      <c r="F11" s="4">
        <f t="shared" si="0"/>
        <v>6440</v>
      </c>
    </row>
    <row r="12" spans="1:10" x14ac:dyDescent="0.15">
      <c r="A12" s="6">
        <v>42531</v>
      </c>
      <c r="B12" s="1" t="s">
        <v>7</v>
      </c>
      <c r="C12" s="1" t="s">
        <v>10</v>
      </c>
      <c r="D12" t="s">
        <v>86</v>
      </c>
      <c r="E12" s="7">
        <v>50000</v>
      </c>
      <c r="F12" s="4">
        <f t="shared" si="0"/>
        <v>56440</v>
      </c>
    </row>
    <row r="13" spans="1:10" x14ac:dyDescent="0.15">
      <c r="A13" s="6">
        <v>42551</v>
      </c>
      <c r="B13" t="s">
        <v>37</v>
      </c>
      <c r="C13" t="s">
        <v>58</v>
      </c>
      <c r="D13" t="s">
        <v>59</v>
      </c>
      <c r="E13" s="7">
        <v>12000</v>
      </c>
      <c r="F13" s="4">
        <f t="shared" si="0"/>
        <v>68440</v>
      </c>
    </row>
    <row r="14" spans="1:10" x14ac:dyDescent="0.15">
      <c r="A14" s="6">
        <v>42565</v>
      </c>
      <c r="B14" t="s">
        <v>60</v>
      </c>
      <c r="C14" t="s">
        <v>61</v>
      </c>
      <c r="D14" t="s">
        <v>62</v>
      </c>
      <c r="E14" s="7">
        <v>-1000</v>
      </c>
      <c r="F14" s="4">
        <f t="shared" si="0"/>
        <v>67440</v>
      </c>
    </row>
    <row r="15" spans="1:10" x14ac:dyDescent="0.15">
      <c r="A15" s="6">
        <v>42566</v>
      </c>
      <c r="B15" t="s">
        <v>45</v>
      </c>
      <c r="C15" t="s">
        <v>49</v>
      </c>
      <c r="D15" t="s">
        <v>50</v>
      </c>
      <c r="E15" s="7">
        <v>-800</v>
      </c>
      <c r="F15" s="4">
        <f t="shared" si="0"/>
        <v>66640</v>
      </c>
    </row>
    <row r="16" spans="1:10" x14ac:dyDescent="0.15">
      <c r="A16" s="6">
        <v>42587</v>
      </c>
      <c r="B16" t="s">
        <v>60</v>
      </c>
      <c r="C16" t="s">
        <v>63</v>
      </c>
      <c r="D16" t="s">
        <v>64</v>
      </c>
      <c r="E16" s="7">
        <v>-2500</v>
      </c>
      <c r="F16" s="4">
        <f t="shared" si="0"/>
        <v>64140</v>
      </c>
    </row>
    <row r="17" spans="1:6" x14ac:dyDescent="0.15">
      <c r="A17" s="6">
        <v>42618</v>
      </c>
      <c r="B17" t="s">
        <v>37</v>
      </c>
      <c r="C17" t="s">
        <v>65</v>
      </c>
      <c r="D17" t="s">
        <v>66</v>
      </c>
      <c r="E17" s="7">
        <v>10000</v>
      </c>
      <c r="F17" s="4">
        <f t="shared" si="0"/>
        <v>74140</v>
      </c>
    </row>
    <row r="18" spans="1:6" x14ac:dyDescent="0.15">
      <c r="A18" s="6">
        <v>42628</v>
      </c>
      <c r="B18" t="s">
        <v>46</v>
      </c>
      <c r="C18" t="s">
        <v>47</v>
      </c>
      <c r="D18" t="s">
        <v>67</v>
      </c>
      <c r="E18" s="7">
        <v>-150</v>
      </c>
      <c r="F18" s="4">
        <f t="shared" si="0"/>
        <v>73990</v>
      </c>
    </row>
    <row r="19" spans="1:6" x14ac:dyDescent="0.15">
      <c r="A19" s="6">
        <v>42634</v>
      </c>
      <c r="B19" t="s">
        <v>45</v>
      </c>
      <c r="C19" t="s">
        <v>80</v>
      </c>
      <c r="D19" t="s">
        <v>81</v>
      </c>
      <c r="E19" s="7">
        <v>-20000</v>
      </c>
      <c r="F19" s="4">
        <f t="shared" si="0"/>
        <v>53990</v>
      </c>
    </row>
    <row r="20" spans="1:6" x14ac:dyDescent="0.15">
      <c r="A20" s="6">
        <v>42645</v>
      </c>
      <c r="B20" t="s">
        <v>60</v>
      </c>
      <c r="C20" t="s">
        <v>82</v>
      </c>
      <c r="D20" t="s">
        <v>83</v>
      </c>
      <c r="E20" s="7">
        <v>-2890</v>
      </c>
      <c r="F20" s="4">
        <f t="shared" si="0"/>
        <v>51100</v>
      </c>
    </row>
    <row r="21" spans="1:6" x14ac:dyDescent="0.15">
      <c r="A21" s="6">
        <v>42668</v>
      </c>
      <c r="B21" t="s">
        <v>42</v>
      </c>
      <c r="C21" t="s">
        <v>84</v>
      </c>
      <c r="D21" t="s">
        <v>85</v>
      </c>
      <c r="E21" s="7">
        <v>-1280</v>
      </c>
      <c r="F21" s="4">
        <f t="shared" si="0"/>
        <v>49820</v>
      </c>
    </row>
    <row r="22" spans="1:6" x14ac:dyDescent="0.15">
      <c r="A22" s="6">
        <v>42684</v>
      </c>
      <c r="B22" t="s">
        <v>46</v>
      </c>
      <c r="C22" t="s">
        <v>56</v>
      </c>
      <c r="D22" t="s">
        <v>57</v>
      </c>
      <c r="E22" s="7">
        <v>-800</v>
      </c>
      <c r="F22" s="4">
        <f t="shared" si="0"/>
        <v>49020</v>
      </c>
    </row>
    <row r="23" spans="1:6" x14ac:dyDescent="0.15">
      <c r="A23" s="6">
        <v>42714</v>
      </c>
      <c r="B23" t="s">
        <v>60</v>
      </c>
      <c r="C23" t="s">
        <v>61</v>
      </c>
      <c r="D23" t="s">
        <v>62</v>
      </c>
      <c r="E23" s="7">
        <v>-1000</v>
      </c>
      <c r="F23" s="4">
        <f t="shared" si="0"/>
        <v>48020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1"/>
  <sheetViews>
    <sheetView workbookViewId="0">
      <selection activeCell="F8" sqref="F8"/>
    </sheetView>
  </sheetViews>
  <sheetFormatPr defaultRowHeight="13.5" x14ac:dyDescent="0.15"/>
  <cols>
    <col min="1" max="1" width="12" customWidth="1"/>
    <col min="2" max="2" width="19" customWidth="1"/>
    <col min="3" max="3" width="12.375" customWidth="1"/>
    <col min="4" max="4" width="15.75" customWidth="1"/>
  </cols>
  <sheetData>
    <row r="1" spans="1:8" x14ac:dyDescent="0.15">
      <c r="A1" s="9" t="s">
        <v>32</v>
      </c>
      <c r="B1" s="9" t="s">
        <v>3</v>
      </c>
      <c r="C1" s="9" t="s">
        <v>4</v>
      </c>
      <c r="D1" s="9"/>
      <c r="H1" s="8"/>
    </row>
    <row r="2" spans="1:8" x14ac:dyDescent="0.15">
      <c r="A2" s="1" t="s">
        <v>7</v>
      </c>
      <c r="B2" s="1"/>
      <c r="C2" s="18">
        <v>84500</v>
      </c>
      <c r="E2" s="19"/>
    </row>
    <row r="3" spans="1:8" x14ac:dyDescent="0.15">
      <c r="A3" s="1"/>
      <c r="B3" s="1" t="s">
        <v>6</v>
      </c>
      <c r="C3" s="5">
        <v>12500</v>
      </c>
      <c r="D3" s="1"/>
    </row>
    <row r="4" spans="1:8" x14ac:dyDescent="0.15">
      <c r="A4" s="1"/>
      <c r="B4" s="1" t="s">
        <v>8</v>
      </c>
      <c r="C4" s="5">
        <v>10000</v>
      </c>
      <c r="D4" s="1"/>
    </row>
    <row r="5" spans="1:8" x14ac:dyDescent="0.15">
      <c r="A5" s="1"/>
      <c r="B5" s="1" t="s">
        <v>9</v>
      </c>
      <c r="C5" s="5">
        <v>12000</v>
      </c>
      <c r="D5" s="1"/>
    </row>
    <row r="6" spans="1:8" x14ac:dyDescent="0.15">
      <c r="A6" s="1"/>
      <c r="B6" s="1" t="s">
        <v>10</v>
      </c>
      <c r="C6" s="5">
        <v>50000</v>
      </c>
      <c r="D6" s="1"/>
    </row>
    <row r="7" spans="1:8" x14ac:dyDescent="0.15">
      <c r="A7" s="1" t="s">
        <v>11</v>
      </c>
      <c r="B7" s="1"/>
      <c r="C7" s="18">
        <v>-21750</v>
      </c>
    </row>
    <row r="8" spans="1:8" x14ac:dyDescent="0.15">
      <c r="A8" s="1"/>
      <c r="B8" s="1" t="s">
        <v>12</v>
      </c>
      <c r="C8" s="5">
        <v>-20000</v>
      </c>
      <c r="D8" s="1"/>
    </row>
    <row r="9" spans="1:8" x14ac:dyDescent="0.15">
      <c r="A9" s="1"/>
      <c r="B9" s="1" t="s">
        <v>13</v>
      </c>
      <c r="C9" s="5">
        <v>-1600</v>
      </c>
      <c r="D9" s="1"/>
    </row>
    <row r="10" spans="1:8" x14ac:dyDescent="0.15">
      <c r="A10" s="1"/>
      <c r="B10" s="1" t="s">
        <v>14</v>
      </c>
      <c r="C10" s="5">
        <v>-150</v>
      </c>
      <c r="D10" s="1"/>
    </row>
    <row r="11" spans="1:8" x14ac:dyDescent="0.15">
      <c r="A11" s="1" t="s">
        <v>15</v>
      </c>
      <c r="B11" s="1"/>
      <c r="C11" s="18">
        <v>-1300</v>
      </c>
    </row>
    <row r="12" spans="1:8" x14ac:dyDescent="0.15">
      <c r="A12" s="1"/>
      <c r="B12" s="1" t="s">
        <v>16</v>
      </c>
      <c r="C12" s="5"/>
      <c r="D12" s="1"/>
    </row>
    <row r="13" spans="1:8" x14ac:dyDescent="0.15">
      <c r="A13" s="1"/>
      <c r="B13" s="1" t="s">
        <v>17</v>
      </c>
      <c r="C13" s="5">
        <v>-1000</v>
      </c>
      <c r="D13" s="1"/>
    </row>
    <row r="14" spans="1:8" x14ac:dyDescent="0.15">
      <c r="A14" s="1"/>
      <c r="B14" s="1" t="s">
        <v>18</v>
      </c>
      <c r="C14" s="5">
        <v>-300</v>
      </c>
      <c r="D14" s="1"/>
    </row>
    <row r="15" spans="1:8" x14ac:dyDescent="0.15">
      <c r="A15" s="1" t="s">
        <v>19</v>
      </c>
      <c r="B15" s="1"/>
      <c r="C15" s="18">
        <v>-7390</v>
      </c>
    </row>
    <row r="16" spans="1:8" x14ac:dyDescent="0.15">
      <c r="A16" s="1"/>
      <c r="B16" s="1" t="s">
        <v>20</v>
      </c>
      <c r="C16" s="5">
        <v>-2890</v>
      </c>
      <c r="D16" s="1"/>
    </row>
    <row r="17" spans="1:4" x14ac:dyDescent="0.15">
      <c r="A17" s="1"/>
      <c r="B17" s="1" t="s">
        <v>21</v>
      </c>
      <c r="C17" s="5">
        <v>-2500</v>
      </c>
      <c r="D17" s="1"/>
    </row>
    <row r="18" spans="1:4" x14ac:dyDescent="0.15">
      <c r="A18" s="1"/>
      <c r="B18" s="1" t="s">
        <v>22</v>
      </c>
      <c r="C18" s="5">
        <v>-2000</v>
      </c>
      <c r="D18" s="1"/>
    </row>
    <row r="19" spans="1:4" x14ac:dyDescent="0.15">
      <c r="A19" s="1"/>
      <c r="B19" s="1" t="s">
        <v>23</v>
      </c>
      <c r="C19" s="5"/>
      <c r="D19" s="1"/>
    </row>
    <row r="20" spans="1:4" x14ac:dyDescent="0.15">
      <c r="A20" s="1" t="s">
        <v>24</v>
      </c>
      <c r="B20" s="1"/>
      <c r="C20" s="18">
        <v>-3540</v>
      </c>
    </row>
    <row r="21" spans="1:4" x14ac:dyDescent="0.15">
      <c r="A21" s="1"/>
      <c r="B21" s="1" t="s">
        <v>25</v>
      </c>
      <c r="C21" s="5">
        <v>-1260</v>
      </c>
      <c r="D21" s="1"/>
    </row>
    <row r="22" spans="1:4" x14ac:dyDescent="0.15">
      <c r="A22" s="1"/>
      <c r="B22" s="1" t="s">
        <v>26</v>
      </c>
      <c r="C22" s="5">
        <v>-1280</v>
      </c>
      <c r="D22" s="1"/>
    </row>
    <row r="23" spans="1:4" x14ac:dyDescent="0.15">
      <c r="A23" s="1"/>
      <c r="B23" s="1" t="s">
        <v>27</v>
      </c>
      <c r="C23" s="5">
        <v>-1000</v>
      </c>
      <c r="D23" s="1"/>
    </row>
    <row r="24" spans="1:4" x14ac:dyDescent="0.15">
      <c r="A24" s="1" t="s">
        <v>28</v>
      </c>
      <c r="B24" s="1"/>
      <c r="C24" s="18">
        <v>-2500</v>
      </c>
    </row>
    <row r="25" spans="1:4" x14ac:dyDescent="0.15">
      <c r="A25" s="1"/>
      <c r="B25" s="1" t="s">
        <v>29</v>
      </c>
      <c r="C25" s="5"/>
      <c r="D25" s="1"/>
    </row>
    <row r="26" spans="1:4" x14ac:dyDescent="0.15">
      <c r="A26" s="1"/>
      <c r="B26" s="1" t="s">
        <v>30</v>
      </c>
      <c r="C26" s="5">
        <v>-2500</v>
      </c>
      <c r="D26" s="1"/>
    </row>
    <row r="27" spans="1:4" x14ac:dyDescent="0.15">
      <c r="A27" s="1" t="s">
        <v>31</v>
      </c>
      <c r="B27" s="1"/>
      <c r="C27" s="18">
        <v>48020</v>
      </c>
    </row>
    <row r="28" spans="1:4" x14ac:dyDescent="0.15">
      <c r="A28" s="1"/>
      <c r="B28" s="1"/>
      <c r="C28" s="1"/>
      <c r="D28" s="1"/>
    </row>
    <row r="29" spans="1:4" x14ac:dyDescent="0.15">
      <c r="A29" s="1"/>
      <c r="B29" s="1"/>
      <c r="C29" s="1"/>
      <c r="D29" s="1"/>
    </row>
    <row r="30" spans="1:4" x14ac:dyDescent="0.15">
      <c r="A30" s="1"/>
      <c r="B30" s="1"/>
      <c r="C30" s="1"/>
      <c r="D30" s="1"/>
    </row>
    <row r="31" spans="1:4" x14ac:dyDescent="0.15">
      <c r="A31" s="1"/>
      <c r="B31" s="1"/>
      <c r="C31" s="1"/>
      <c r="D31" s="1"/>
    </row>
    <row r="32" spans="1:4" x14ac:dyDescent="0.15">
      <c r="A32" s="1"/>
      <c r="B32" s="1"/>
      <c r="C32" s="1"/>
      <c r="D32" s="1"/>
    </row>
    <row r="33" spans="1:4" x14ac:dyDescent="0.15">
      <c r="A33" s="1"/>
      <c r="B33" s="1"/>
      <c r="C33" s="1"/>
      <c r="D33" s="1"/>
    </row>
    <row r="34" spans="1:4" x14ac:dyDescent="0.15">
      <c r="A34" s="1"/>
      <c r="B34" s="1"/>
      <c r="C34" s="1"/>
      <c r="D34" s="1"/>
    </row>
    <row r="35" spans="1:4" x14ac:dyDescent="0.15">
      <c r="A35" s="1"/>
      <c r="B35" s="1"/>
      <c r="C35" s="1"/>
      <c r="D35" s="1"/>
    </row>
    <row r="36" spans="1:4" x14ac:dyDescent="0.15">
      <c r="A36" s="1"/>
      <c r="B36" s="1"/>
      <c r="C36" s="1"/>
      <c r="D36" s="1"/>
    </row>
    <row r="37" spans="1:4" x14ac:dyDescent="0.15">
      <c r="A37" s="1"/>
      <c r="B37" s="1"/>
      <c r="C37" s="1"/>
      <c r="D37" s="1"/>
    </row>
    <row r="38" spans="1:4" x14ac:dyDescent="0.15">
      <c r="A38" s="1"/>
      <c r="B38" s="1"/>
      <c r="C38" s="1"/>
      <c r="D38" s="1"/>
    </row>
    <row r="39" spans="1:4" x14ac:dyDescent="0.15">
      <c r="A39" s="1"/>
      <c r="B39" s="1"/>
      <c r="C39" s="1"/>
      <c r="D39" s="1"/>
    </row>
    <row r="40" spans="1:4" x14ac:dyDescent="0.15">
      <c r="A40" s="1"/>
      <c r="B40" s="1"/>
      <c r="C40" s="1"/>
      <c r="D40" s="1"/>
    </row>
    <row r="41" spans="1:4" x14ac:dyDescent="0.15">
      <c r="A41" s="1"/>
      <c r="B41" s="1"/>
      <c r="C41" s="1"/>
      <c r="D41" s="1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0"/>
  <sheetViews>
    <sheetView workbookViewId="0">
      <selection activeCell="A5" sqref="A5:B5"/>
    </sheetView>
  </sheetViews>
  <sheetFormatPr defaultRowHeight="13.5" x14ac:dyDescent="0.15"/>
  <cols>
    <col min="1" max="1" width="11.75" customWidth="1"/>
    <col min="2" max="2" width="17" customWidth="1"/>
    <col min="3" max="3" width="8.125" customWidth="1"/>
  </cols>
  <sheetData>
    <row r="1" spans="1:4" x14ac:dyDescent="0.15">
      <c r="A1" s="1" t="s">
        <v>32</v>
      </c>
      <c r="B1" s="1" t="s">
        <v>3</v>
      </c>
      <c r="C1" s="1" t="s">
        <v>33</v>
      </c>
      <c r="D1" s="1"/>
    </row>
    <row r="2" spans="1:4" x14ac:dyDescent="0.15">
      <c r="A2" s="1" t="s">
        <v>7</v>
      </c>
      <c r="B2" s="1" t="s">
        <v>6</v>
      </c>
      <c r="C2" s="1" t="s">
        <v>7</v>
      </c>
      <c r="D2" s="1"/>
    </row>
    <row r="3" spans="1:4" x14ac:dyDescent="0.15">
      <c r="A3" s="1" t="s">
        <v>7</v>
      </c>
      <c r="B3" s="1" t="s">
        <v>8</v>
      </c>
      <c r="C3" s="1" t="s">
        <v>7</v>
      </c>
      <c r="D3" s="1"/>
    </row>
    <row r="4" spans="1:4" x14ac:dyDescent="0.15">
      <c r="A4" s="1" t="s">
        <v>7</v>
      </c>
      <c r="B4" s="1" t="s">
        <v>34</v>
      </c>
      <c r="C4" s="1" t="s">
        <v>7</v>
      </c>
      <c r="D4" s="1"/>
    </row>
    <row r="5" spans="1:4" x14ac:dyDescent="0.15">
      <c r="A5" s="1" t="s">
        <v>7</v>
      </c>
      <c r="B5" s="1" t="s">
        <v>10</v>
      </c>
      <c r="C5" s="1" t="s">
        <v>7</v>
      </c>
      <c r="D5" s="1"/>
    </row>
    <row r="6" spans="1:4" x14ac:dyDescent="0.15">
      <c r="A6" s="1" t="s">
        <v>11</v>
      </c>
      <c r="B6" s="1" t="s">
        <v>12</v>
      </c>
      <c r="C6" s="1" t="s">
        <v>35</v>
      </c>
      <c r="D6" s="1"/>
    </row>
    <row r="7" spans="1:4" x14ac:dyDescent="0.15">
      <c r="A7" s="1" t="s">
        <v>11</v>
      </c>
      <c r="B7" s="1" t="s">
        <v>13</v>
      </c>
      <c r="C7" s="1" t="s">
        <v>35</v>
      </c>
      <c r="D7" s="1"/>
    </row>
    <row r="8" spans="1:4" x14ac:dyDescent="0.15">
      <c r="A8" s="1" t="s">
        <v>11</v>
      </c>
      <c r="B8" s="1" t="s">
        <v>14</v>
      </c>
      <c r="C8" s="1" t="s">
        <v>35</v>
      </c>
      <c r="D8" s="1"/>
    </row>
    <row r="9" spans="1:4" x14ac:dyDescent="0.15">
      <c r="A9" s="1" t="s">
        <v>15</v>
      </c>
      <c r="B9" s="1" t="s">
        <v>16</v>
      </c>
      <c r="C9" s="1" t="s">
        <v>35</v>
      </c>
      <c r="D9" s="1"/>
    </row>
    <row r="10" spans="1:4" x14ac:dyDescent="0.15">
      <c r="A10" s="1" t="s">
        <v>15</v>
      </c>
      <c r="B10" s="1" t="s">
        <v>17</v>
      </c>
      <c r="C10" s="1" t="s">
        <v>35</v>
      </c>
      <c r="D10" s="1"/>
    </row>
    <row r="11" spans="1:4" x14ac:dyDescent="0.15">
      <c r="A11" s="1" t="s">
        <v>15</v>
      </c>
      <c r="B11" s="1" t="s">
        <v>18</v>
      </c>
      <c r="C11" s="1" t="s">
        <v>35</v>
      </c>
      <c r="D11" s="1"/>
    </row>
    <row r="12" spans="1:4" x14ac:dyDescent="0.15">
      <c r="A12" s="1" t="s">
        <v>19</v>
      </c>
      <c r="B12" s="1" t="s">
        <v>20</v>
      </c>
      <c r="C12" s="1" t="s">
        <v>35</v>
      </c>
      <c r="D12" s="1"/>
    </row>
    <row r="13" spans="1:4" x14ac:dyDescent="0.15">
      <c r="A13" s="1" t="s">
        <v>19</v>
      </c>
      <c r="B13" s="1" t="s">
        <v>21</v>
      </c>
      <c r="C13" s="1" t="s">
        <v>35</v>
      </c>
      <c r="D13" s="1"/>
    </row>
    <row r="14" spans="1:4" x14ac:dyDescent="0.15">
      <c r="A14" s="1" t="s">
        <v>19</v>
      </c>
      <c r="B14" s="1" t="s">
        <v>22</v>
      </c>
      <c r="C14" s="1" t="s">
        <v>35</v>
      </c>
      <c r="D14" s="1"/>
    </row>
    <row r="15" spans="1:4" x14ac:dyDescent="0.15">
      <c r="A15" s="1" t="s">
        <v>19</v>
      </c>
      <c r="B15" s="1" t="s">
        <v>23</v>
      </c>
      <c r="C15" s="1" t="s">
        <v>35</v>
      </c>
      <c r="D15" s="1"/>
    </row>
    <row r="16" spans="1:4" x14ac:dyDescent="0.15">
      <c r="A16" s="1" t="s">
        <v>24</v>
      </c>
      <c r="B16" s="1" t="s">
        <v>25</v>
      </c>
      <c r="C16" s="1" t="s">
        <v>35</v>
      </c>
      <c r="D16" s="1"/>
    </row>
    <row r="17" spans="1:4" x14ac:dyDescent="0.15">
      <c r="A17" s="1" t="s">
        <v>24</v>
      </c>
      <c r="B17" s="1" t="s">
        <v>26</v>
      </c>
      <c r="C17" s="1" t="s">
        <v>35</v>
      </c>
      <c r="D17" s="1"/>
    </row>
    <row r="18" spans="1:4" x14ac:dyDescent="0.15">
      <c r="A18" s="1" t="s">
        <v>24</v>
      </c>
      <c r="B18" s="1" t="s">
        <v>27</v>
      </c>
      <c r="C18" s="1" t="s">
        <v>35</v>
      </c>
      <c r="D18" s="1"/>
    </row>
    <row r="19" spans="1:4" x14ac:dyDescent="0.15">
      <c r="A19" s="1" t="s">
        <v>28</v>
      </c>
      <c r="B19" s="1" t="s">
        <v>29</v>
      </c>
      <c r="C19" s="1" t="s">
        <v>35</v>
      </c>
      <c r="D19" s="1"/>
    </row>
    <row r="20" spans="1:4" x14ac:dyDescent="0.15">
      <c r="A20" s="1" t="s">
        <v>28</v>
      </c>
      <c r="B20" s="1" t="s">
        <v>30</v>
      </c>
      <c r="C20" s="1" t="s">
        <v>35</v>
      </c>
      <c r="D20" s="1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7"/>
  <sheetViews>
    <sheetView workbookViewId="0">
      <selection activeCell="C6" sqref="C6"/>
    </sheetView>
  </sheetViews>
  <sheetFormatPr defaultRowHeight="13.5" x14ac:dyDescent="0.15"/>
  <cols>
    <col min="2" max="2" width="17.625" customWidth="1"/>
  </cols>
  <sheetData>
    <row r="1" spans="1:14" x14ac:dyDescent="0.15">
      <c r="A1" s="17" t="s">
        <v>32</v>
      </c>
      <c r="B1" s="17" t="s">
        <v>3</v>
      </c>
      <c r="C1" s="17" t="s">
        <v>68</v>
      </c>
      <c r="D1" s="17" t="s">
        <v>69</v>
      </c>
      <c r="E1" s="17" t="s">
        <v>70</v>
      </c>
      <c r="F1" s="17" t="s">
        <v>71</v>
      </c>
      <c r="G1" s="17" t="s">
        <v>72</v>
      </c>
      <c r="H1" s="17" t="s">
        <v>73</v>
      </c>
      <c r="I1" s="17" t="s">
        <v>74</v>
      </c>
      <c r="J1" s="17" t="s">
        <v>75</v>
      </c>
      <c r="K1" s="17" t="s">
        <v>76</v>
      </c>
      <c r="L1" s="17" t="s">
        <v>77</v>
      </c>
      <c r="M1" s="17" t="s">
        <v>78</v>
      </c>
      <c r="N1" s="17" t="s">
        <v>79</v>
      </c>
    </row>
    <row r="2" spans="1:14" x14ac:dyDescent="0.15">
      <c r="A2" s="5" t="s">
        <v>7</v>
      </c>
      <c r="B2" s="5"/>
      <c r="C2" s="20"/>
      <c r="D2" s="18"/>
      <c r="E2" s="20"/>
      <c r="F2" s="20"/>
      <c r="G2" s="20"/>
      <c r="H2" s="20"/>
      <c r="I2" s="20"/>
      <c r="J2" s="20"/>
      <c r="K2" s="20"/>
      <c r="L2" s="20"/>
      <c r="M2" s="20"/>
      <c r="N2" s="20"/>
    </row>
    <row r="3" spans="1:14" x14ac:dyDescent="0.15">
      <c r="A3" s="5"/>
      <c r="B3" s="5" t="s">
        <v>6</v>
      </c>
      <c r="C3" s="18"/>
      <c r="D3" s="5"/>
      <c r="E3" s="10"/>
      <c r="F3" s="10"/>
      <c r="G3" s="10"/>
      <c r="H3" s="10"/>
      <c r="I3" s="10"/>
      <c r="J3" s="10"/>
      <c r="K3" s="10"/>
      <c r="L3" s="10"/>
      <c r="M3" s="10"/>
      <c r="N3" s="10"/>
    </row>
    <row r="4" spans="1:14" x14ac:dyDescent="0.15">
      <c r="A4" s="5"/>
      <c r="B4" s="5" t="s">
        <v>8</v>
      </c>
      <c r="C4" s="18"/>
      <c r="D4" s="5"/>
      <c r="E4" s="10"/>
      <c r="F4" s="10"/>
      <c r="G4" s="10"/>
      <c r="H4" s="10"/>
      <c r="I4" s="10"/>
      <c r="J4" s="10"/>
      <c r="K4" s="10"/>
      <c r="L4" s="10"/>
      <c r="M4" s="10"/>
      <c r="N4" s="10"/>
    </row>
    <row r="5" spans="1:14" x14ac:dyDescent="0.15">
      <c r="A5" s="5"/>
      <c r="B5" s="5" t="s">
        <v>9</v>
      </c>
      <c r="C5" s="18"/>
      <c r="D5" s="5"/>
      <c r="E5" s="10"/>
      <c r="F5" s="10"/>
      <c r="G5" s="10"/>
      <c r="H5" s="10"/>
      <c r="I5" s="10"/>
      <c r="J5" s="10"/>
      <c r="K5" s="10"/>
      <c r="L5" s="10"/>
      <c r="M5" s="10"/>
      <c r="N5" s="10"/>
    </row>
    <row r="6" spans="1:14" x14ac:dyDescent="0.15">
      <c r="A6" s="5"/>
      <c r="B6" s="5" t="s">
        <v>10</v>
      </c>
      <c r="C6" s="18"/>
      <c r="D6" s="5"/>
      <c r="E6" s="10"/>
      <c r="F6" s="10"/>
      <c r="G6" s="10"/>
      <c r="H6" s="10"/>
      <c r="I6" s="10"/>
      <c r="J6" s="10"/>
      <c r="K6" s="10"/>
      <c r="L6" s="10"/>
      <c r="M6" s="10"/>
      <c r="N6" s="10"/>
    </row>
    <row r="7" spans="1:14" x14ac:dyDescent="0.15">
      <c r="A7" s="1" t="s">
        <v>11</v>
      </c>
      <c r="B7" s="1"/>
      <c r="C7" s="18"/>
      <c r="D7" s="18"/>
      <c r="E7" s="20"/>
      <c r="F7" s="20"/>
      <c r="G7" s="20"/>
      <c r="H7" s="20"/>
      <c r="I7" s="20"/>
      <c r="J7" s="20"/>
      <c r="K7" s="20"/>
      <c r="L7" s="20"/>
      <c r="M7" s="20"/>
      <c r="N7" s="20"/>
    </row>
    <row r="8" spans="1:14" x14ac:dyDescent="0.15">
      <c r="A8" s="5"/>
      <c r="B8" s="5" t="s">
        <v>12</v>
      </c>
      <c r="C8" s="18"/>
      <c r="D8" s="5"/>
      <c r="E8" s="10"/>
      <c r="F8" s="10"/>
      <c r="G8" s="10"/>
      <c r="H8" s="10"/>
      <c r="I8" s="10"/>
      <c r="J8" s="10"/>
      <c r="K8" s="10"/>
      <c r="L8" s="10"/>
      <c r="M8" s="10"/>
      <c r="N8" s="10"/>
    </row>
    <row r="9" spans="1:14" x14ac:dyDescent="0.15">
      <c r="A9" s="5"/>
      <c r="B9" s="5" t="s">
        <v>13</v>
      </c>
      <c r="C9" s="18"/>
      <c r="D9" s="5"/>
      <c r="E9" s="10"/>
      <c r="F9" s="10"/>
      <c r="G9" s="10"/>
      <c r="H9" s="10"/>
      <c r="I9" s="10"/>
      <c r="J9" s="10"/>
      <c r="K9" s="10"/>
      <c r="L9" s="10"/>
      <c r="M9" s="10"/>
      <c r="N9" s="10"/>
    </row>
    <row r="10" spans="1:14" x14ac:dyDescent="0.15">
      <c r="A10" s="5"/>
      <c r="B10" s="5" t="s">
        <v>14</v>
      </c>
      <c r="C10" s="18"/>
      <c r="D10" s="5"/>
      <c r="E10" s="10"/>
      <c r="F10" s="10"/>
      <c r="G10" s="10"/>
      <c r="H10" s="10"/>
      <c r="I10" s="10"/>
      <c r="J10" s="10"/>
      <c r="K10" s="10"/>
      <c r="L10" s="10"/>
      <c r="M10" s="10"/>
      <c r="N10" s="10"/>
    </row>
    <row r="11" spans="1:14" x14ac:dyDescent="0.15">
      <c r="A11" s="5" t="s">
        <v>15</v>
      </c>
      <c r="B11" s="5"/>
      <c r="C11" s="18"/>
      <c r="D11" s="18"/>
      <c r="E11" s="20"/>
      <c r="F11" s="20"/>
      <c r="G11" s="20"/>
      <c r="H11" s="20"/>
      <c r="I11" s="20"/>
      <c r="J11" s="20"/>
      <c r="K11" s="20"/>
      <c r="L11" s="20"/>
      <c r="M11" s="20"/>
      <c r="N11" s="20"/>
    </row>
    <row r="12" spans="1:14" x14ac:dyDescent="0.15">
      <c r="A12" s="5"/>
      <c r="B12" s="5" t="s">
        <v>16</v>
      </c>
      <c r="C12" s="18"/>
      <c r="D12" s="5"/>
      <c r="E12" s="10"/>
      <c r="F12" s="10"/>
      <c r="G12" s="10"/>
      <c r="H12" s="10"/>
      <c r="I12" s="10"/>
      <c r="J12" s="10"/>
      <c r="K12" s="10"/>
      <c r="L12" s="10"/>
      <c r="M12" s="10"/>
      <c r="N12" s="10"/>
    </row>
    <row r="13" spans="1:14" x14ac:dyDescent="0.15">
      <c r="A13" s="5"/>
      <c r="B13" s="5" t="s">
        <v>17</v>
      </c>
      <c r="C13" s="18"/>
      <c r="D13" s="5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1:14" x14ac:dyDescent="0.15">
      <c r="A14" s="5"/>
      <c r="B14" s="5" t="s">
        <v>18</v>
      </c>
      <c r="C14" s="18"/>
      <c r="D14" s="5"/>
      <c r="E14" s="10"/>
      <c r="F14" s="10"/>
      <c r="G14" s="10"/>
      <c r="H14" s="10"/>
      <c r="I14" s="10"/>
      <c r="J14" s="10"/>
      <c r="K14" s="10"/>
      <c r="L14" s="10"/>
      <c r="M14" s="10"/>
      <c r="N14" s="10"/>
    </row>
    <row r="15" spans="1:14" x14ac:dyDescent="0.15">
      <c r="A15" s="11" t="s">
        <v>19</v>
      </c>
      <c r="B15" s="12"/>
      <c r="C15" s="18"/>
      <c r="D15" s="18"/>
      <c r="E15" s="20"/>
      <c r="F15" s="20"/>
      <c r="G15" s="20"/>
      <c r="H15" s="20"/>
      <c r="I15" s="20"/>
      <c r="J15" s="20"/>
      <c r="K15" s="20"/>
      <c r="L15" s="20"/>
      <c r="M15" s="20"/>
      <c r="N15" s="20"/>
    </row>
    <row r="16" spans="1:14" x14ac:dyDescent="0.15">
      <c r="A16" s="13"/>
      <c r="B16" s="5" t="s">
        <v>20</v>
      </c>
      <c r="C16" s="5"/>
      <c r="D16" s="5"/>
      <c r="E16" s="10"/>
      <c r="F16" s="10"/>
      <c r="G16" s="10"/>
      <c r="H16" s="10"/>
      <c r="I16" s="10"/>
      <c r="J16" s="10"/>
      <c r="K16" s="10"/>
      <c r="L16" s="10"/>
      <c r="M16" s="10"/>
      <c r="N16" s="10"/>
    </row>
    <row r="17" spans="1:14" x14ac:dyDescent="0.15">
      <c r="A17" s="13"/>
      <c r="B17" s="5" t="s">
        <v>21</v>
      </c>
      <c r="C17" s="5"/>
      <c r="D17" s="5"/>
      <c r="E17" s="10"/>
      <c r="F17" s="10"/>
      <c r="G17" s="10"/>
      <c r="H17" s="10"/>
      <c r="I17" s="10"/>
      <c r="J17" s="10"/>
      <c r="K17" s="10"/>
      <c r="L17" s="10"/>
      <c r="M17" s="10"/>
      <c r="N17" s="10"/>
    </row>
    <row r="18" spans="1:14" x14ac:dyDescent="0.15">
      <c r="A18" s="13"/>
      <c r="B18" s="5" t="s">
        <v>22</v>
      </c>
      <c r="C18" s="5"/>
      <c r="D18" s="5"/>
      <c r="E18" s="10"/>
      <c r="F18" s="10"/>
      <c r="G18" s="10"/>
      <c r="H18" s="10"/>
      <c r="I18" s="10"/>
      <c r="J18" s="10"/>
      <c r="K18" s="10"/>
      <c r="L18" s="10"/>
      <c r="M18" s="10"/>
      <c r="N18" s="10"/>
    </row>
    <row r="19" spans="1:14" x14ac:dyDescent="0.15">
      <c r="A19" s="14"/>
      <c r="B19" s="5" t="s">
        <v>23</v>
      </c>
      <c r="C19" s="5"/>
      <c r="D19" s="5"/>
      <c r="E19" s="10"/>
      <c r="F19" s="10"/>
      <c r="G19" s="10"/>
      <c r="H19" s="10"/>
      <c r="I19" s="10"/>
      <c r="J19" s="10"/>
      <c r="K19" s="10"/>
      <c r="L19" s="10"/>
      <c r="M19" s="10"/>
      <c r="N19" s="10"/>
    </row>
    <row r="20" spans="1:14" x14ac:dyDescent="0.15">
      <c r="A20" s="11" t="s">
        <v>24</v>
      </c>
      <c r="B20" s="12"/>
      <c r="C20" s="18"/>
      <c r="D20" s="18"/>
      <c r="E20" s="20"/>
      <c r="F20" s="20"/>
      <c r="G20" s="20"/>
      <c r="H20" s="20"/>
      <c r="I20" s="20"/>
      <c r="J20" s="20"/>
      <c r="K20" s="20"/>
      <c r="L20" s="20"/>
      <c r="M20" s="20"/>
      <c r="N20" s="20"/>
    </row>
    <row r="21" spans="1:14" x14ac:dyDescent="0.15">
      <c r="A21" s="13"/>
      <c r="B21" s="5" t="s">
        <v>25</v>
      </c>
      <c r="C21" s="5"/>
      <c r="D21" s="5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15">
      <c r="A22" s="13"/>
      <c r="B22" s="5" t="s">
        <v>26</v>
      </c>
      <c r="C22" s="5"/>
      <c r="D22" s="5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15">
      <c r="A23" s="14"/>
      <c r="B23" s="5" t="s">
        <v>27</v>
      </c>
      <c r="C23" s="5"/>
      <c r="D23" s="5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15">
      <c r="A24" s="11" t="s">
        <v>28</v>
      </c>
      <c r="B24" s="12"/>
      <c r="C24" s="18"/>
      <c r="D24" s="18"/>
      <c r="E24" s="20"/>
      <c r="F24" s="20"/>
      <c r="G24" s="20"/>
      <c r="H24" s="20"/>
      <c r="I24" s="20"/>
      <c r="J24" s="20"/>
      <c r="K24" s="20"/>
      <c r="L24" s="20"/>
      <c r="M24" s="20"/>
      <c r="N24" s="20"/>
    </row>
    <row r="25" spans="1:14" x14ac:dyDescent="0.15">
      <c r="A25" s="13"/>
      <c r="B25" s="5" t="s">
        <v>29</v>
      </c>
      <c r="C25" s="5"/>
      <c r="D25" s="5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15">
      <c r="A26" s="14"/>
      <c r="B26" s="5" t="s">
        <v>30</v>
      </c>
      <c r="C26" s="5"/>
      <c r="D26" s="5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15">
      <c r="A27" s="15" t="s">
        <v>31</v>
      </c>
      <c r="B27" s="16"/>
      <c r="C27" s="18"/>
      <c r="D27" s="18"/>
      <c r="E27" s="20"/>
      <c r="F27" s="20"/>
      <c r="G27" s="20"/>
      <c r="H27" s="20"/>
      <c r="I27" s="20"/>
      <c r="J27" s="20"/>
      <c r="K27" s="20"/>
      <c r="L27" s="20"/>
      <c r="M27" s="20"/>
      <c r="N27" s="20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現金</vt:lpstr>
      <vt:lpstr>収支</vt:lpstr>
      <vt:lpstr>勘定科目</vt:lpstr>
      <vt:lpstr>集計</vt:lpstr>
    </vt:vector>
  </TitlesOfParts>
  <Company>産業能率大学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情報サービスセンター</dc:creator>
  <cp:lastModifiedBy>情報サービスセンター</cp:lastModifiedBy>
  <dcterms:created xsi:type="dcterms:W3CDTF">2016-11-11T21:36:45Z</dcterms:created>
  <dcterms:modified xsi:type="dcterms:W3CDTF">2017-01-07T01:52:33Z</dcterms:modified>
</cp:coreProperties>
</file>